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1ad5c1f3c6ca7f/^FBusiness Work^F/Microsoft Office 365/"/>
    </mc:Choice>
  </mc:AlternateContent>
  <xr:revisionPtr revIDLastSave="690" documentId="8_{64C78C7D-CC32-4FA9-939B-3E41EE1FE5FE}" xr6:coauthVersionLast="47" xr6:coauthVersionMax="47" xr10:uidLastSave="{CEE1184D-A7A9-764A-B6F0-17D5F4506689}"/>
  <bookViews>
    <workbookView xWindow="-108" yWindow="-108" windowWidth="23256" windowHeight="12456" activeTab="2" xr2:uid="{366819F5-AC49-449E-8879-C67B031CF02D}"/>
  </bookViews>
  <sheets>
    <sheet name="F&amp;E Dispatching" sheetId="2" r:id="rId1"/>
    <sheet name="Trucking" sheetId="3" r:id="rId2"/>
    <sheet name="Personal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Jesse Conley</author>
  </authors>
  <commentList>
    <comment ref="C10" authorId="0" shapeId="0" xr:uid="{C52CCE55-2688-214B-B71C-BF989F70D741}">
      <text>
        <r>
          <rPr>
            <b/>
            <sz val="9"/>
            <color indexed="81"/>
            <rFont val="Tahoma"/>
            <family val="2"/>
          </rPr>
          <t>Jesse Conley: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Jesse Conley</author>
  </authors>
  <commentList>
    <comment ref="C10" authorId="0" shapeId="0" xr:uid="{727A3B3F-2737-4AC6-9356-798F5AAEE119}">
      <text>
        <r>
          <rPr>
            <b/>
            <sz val="9"/>
            <color indexed="81"/>
            <rFont val="Tahoma"/>
            <family val="2"/>
          </rPr>
          <t>Jesse Conley: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<sst xmlns="http://schemas.openxmlformats.org/spreadsheetml/2006/main" count="203" uniqueCount="120">
  <si>
    <t>Amount</t>
  </si>
  <si>
    <t>Due Date</t>
  </si>
  <si>
    <t>Total</t>
  </si>
  <si>
    <t xml:space="preserve">WIX Pro </t>
  </si>
  <si>
    <t>WIX "2 Mailboxes"</t>
  </si>
  <si>
    <t>DAT Truckers Edge</t>
  </si>
  <si>
    <t>TotalAV Viris Protection</t>
  </si>
  <si>
    <t>Business Annual Payments</t>
  </si>
  <si>
    <t>Phone Bill -Sprint-</t>
  </si>
  <si>
    <t>Car Insuance</t>
  </si>
  <si>
    <t>Child Support</t>
  </si>
  <si>
    <t>Personal Monthly Payments</t>
  </si>
  <si>
    <t xml:space="preserve">$29.96 </t>
  </si>
  <si>
    <t>1/7/2021</t>
  </si>
  <si>
    <t>Column1</t>
  </si>
  <si>
    <t>Column2</t>
  </si>
  <si>
    <t>Column3</t>
  </si>
  <si>
    <t>go daddy</t>
  </si>
  <si>
    <t>microsoft office 365</t>
  </si>
  <si>
    <t>canceled</t>
  </si>
  <si>
    <t>*</t>
  </si>
  <si>
    <t>TotalAV Password Protector</t>
  </si>
  <si>
    <t>Total Money</t>
  </si>
  <si>
    <t>Feb. Payments</t>
  </si>
  <si>
    <t>business</t>
  </si>
  <si>
    <t>WIX PRO</t>
  </si>
  <si>
    <t>6162846028 summersville to canton tx</t>
  </si>
  <si>
    <t>Traducción</t>
  </si>
  <si>
    <t>Translation</t>
  </si>
  <si>
    <t>Gas for Work</t>
  </si>
  <si>
    <t>Food</t>
  </si>
  <si>
    <t xml:space="preserve">Monthly </t>
  </si>
  <si>
    <t xml:space="preserve">Car Payment </t>
  </si>
  <si>
    <t>15th</t>
  </si>
  <si>
    <t>10th</t>
  </si>
  <si>
    <t>Insurance Claim</t>
  </si>
  <si>
    <t xml:space="preserve">15th </t>
  </si>
  <si>
    <t>4th-8th</t>
  </si>
  <si>
    <t xml:space="preserve">Netflix </t>
  </si>
  <si>
    <t>Total Yearly</t>
  </si>
  <si>
    <t>Total Monthly</t>
  </si>
  <si>
    <t>Total Weekly</t>
  </si>
  <si>
    <t>Monthly</t>
  </si>
  <si>
    <t xml:space="preserve">Rent/Utilities </t>
  </si>
  <si>
    <t>Column4</t>
  </si>
  <si>
    <t>Truck Payment</t>
  </si>
  <si>
    <t xml:space="preserve">Escrow </t>
  </si>
  <si>
    <t xml:space="preserve">Trailer Insurance </t>
  </si>
  <si>
    <t xml:space="preserve">Truck Registration </t>
  </si>
  <si>
    <t xml:space="preserve">Trailer Payment </t>
  </si>
  <si>
    <t>ELD Access</t>
  </si>
  <si>
    <t>Trip Pack</t>
  </si>
  <si>
    <t xml:space="preserve">Bobtail Insurance </t>
  </si>
  <si>
    <t>Cargo Insurance</t>
  </si>
  <si>
    <t xml:space="preserve">ELD Enrollment </t>
  </si>
  <si>
    <t>Weekly</t>
  </si>
  <si>
    <t>Yearly</t>
  </si>
  <si>
    <t>One Time</t>
  </si>
  <si>
    <t xml:space="preserve">Fuel Averages </t>
  </si>
  <si>
    <t>$4.5-$5 per gal</t>
  </si>
  <si>
    <t xml:space="preserve">MPG Averages </t>
  </si>
  <si>
    <t>6-8 mpg</t>
  </si>
  <si>
    <t>not added</t>
  </si>
  <si>
    <t>Monthly Pay</t>
  </si>
  <si>
    <t>Yearly Pay</t>
  </si>
  <si>
    <t>CPM $1.8</t>
  </si>
  <si>
    <t>CPM $2</t>
  </si>
  <si>
    <t>Fuel Trip Cost</t>
  </si>
  <si>
    <t>Miles÷MPG×Fuel $=</t>
  </si>
  <si>
    <t>$4.5 Per Gal</t>
  </si>
  <si>
    <t>$5 Per Gal</t>
  </si>
  <si>
    <t xml:space="preserve">Fuel Cost Averages </t>
  </si>
  <si>
    <t xml:space="preserve">Mileage </t>
  </si>
  <si>
    <t>Mileage</t>
  </si>
  <si>
    <t>8 mpg -</t>
  </si>
  <si>
    <t>6 mpg -</t>
  </si>
  <si>
    <t>Weekly Pay</t>
  </si>
  <si>
    <t>Dedications</t>
  </si>
  <si>
    <t xml:space="preserve">Average </t>
  </si>
  <si>
    <t xml:space="preserve">Weekly Miles  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</si>
  <si>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</si>
  <si>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</si>
  <si>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</si>
  <si>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</si>
  <si>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</si>
  <si>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</si>
  <si>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</si>
  <si>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</si>
  <si>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</si>
  <si>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</si>
  <si>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Dates/Times</t>
  </si>
  <si>
    <t>Gross Income</t>
  </si>
  <si>
    <t>Net Income/Profit</t>
  </si>
  <si>
    <t>Column15</t>
  </si>
  <si>
    <t>fuel</t>
  </si>
  <si>
    <t>Column16</t>
  </si>
  <si>
    <t>mis.</t>
  </si>
  <si>
    <t>Column17</t>
  </si>
  <si>
    <t>10/9-10/15</t>
  </si>
  <si>
    <t>10/16-10/22</t>
  </si>
  <si>
    <t>9/25-10/1</t>
  </si>
  <si>
    <t>9/18-9/24</t>
  </si>
  <si>
    <t>10/2-10/8</t>
  </si>
  <si>
    <t>repair</t>
  </si>
  <si>
    <t>13.5 scale</t>
  </si>
  <si>
    <t>92.70 drugtest</t>
  </si>
  <si>
    <t>Column18</t>
  </si>
  <si>
    <t>expenses</t>
  </si>
  <si>
    <t>193.20 plane ticket</t>
  </si>
  <si>
    <t>35 checked bag</t>
  </si>
  <si>
    <t>30 def</t>
  </si>
  <si>
    <t>720 dispatch</t>
  </si>
  <si>
    <t>x</t>
  </si>
  <si>
    <t>240 dispatch</t>
  </si>
  <si>
    <t>28th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</si>
</sst>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rgb="FF505050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/>
      <diagonal/>
    </border>
    <border>
      <left/>
      <right/>
      <top style="double">
        <color theme="4"/>
      </top>
      <bottom/>
      <diagonal/>
    </border>
    <border>
      <left/>
      <right style="thin">
        <color theme="4" tint="0.39997558519241921"/>
      </right>
      <top style="double">
        <color theme="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8" fontId="0" fillId="0" borderId="0" xfId="1" applyNumberFormat="1" applyFont="1" applyAlignment="1">
      <alignment horizontal="center"/>
    </xf>
    <xf numFmtId="8" fontId="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6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right"/>
    </xf>
    <xf numFmtId="6" fontId="4" fillId="0" borderId="0" xfId="0" applyNumberFormat="1" applyFont="1"/>
    <xf numFmtId="6" fontId="4" fillId="0" borderId="0" xfId="0" applyNumberFormat="1" applyFont="1" applyAlignment="1">
      <alignment horizontal="center"/>
    </xf>
    <xf numFmtId="0" fontId="0" fillId="0" borderId="1" xfId="0" applyBorder="1"/>
    <xf numFmtId="8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6" fontId="0" fillId="0" borderId="1" xfId="0" applyNumberFormat="1" applyBorder="1" applyAlignment="1">
      <alignment horizontal="center"/>
    </xf>
    <xf numFmtId="0" fontId="4" fillId="0" borderId="4" xfId="0" applyFont="1" applyBorder="1"/>
    <xf numFmtId="8" fontId="4" fillId="0" borderId="3" xfId="0" applyNumberFormat="1" applyFont="1" applyBorder="1" applyAlignment="1">
      <alignment horizontal="center"/>
    </xf>
    <xf numFmtId="0" fontId="4" fillId="0" borderId="2" xfId="0" applyFont="1" applyBorder="1"/>
    <xf numFmtId="14" fontId="4" fillId="0" borderId="3" xfId="0" applyNumberFormat="1" applyFont="1" applyBorder="1" applyAlignment="1">
      <alignment horizontal="center"/>
    </xf>
    <xf numFmtId="0" fontId="4" fillId="0" borderId="5" xfId="0" applyFont="1" applyBorder="1"/>
    <xf numFmtId="8" fontId="4" fillId="0" borderId="6" xfId="0" applyNumberFormat="1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4" fontId="0" fillId="0" borderId="0" xfId="0" applyNumberFormat="1"/>
    <xf numFmtId="8" fontId="0" fillId="0" borderId="0" xfId="0" applyNumberFormat="1"/>
    <xf numFmtId="6" fontId="4" fillId="0" borderId="0" xfId="0" applyNumberFormat="1" applyFon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4" fillId="0" borderId="0" xfId="0" applyFont="1"/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2">
    <cellStyle name="Currency" xfId="1" builtinId="4"/>
    <cellStyle name="Normal" xfId="0" builtinId="0"/>
  </cellStyles>
  <dxfs count="17">
    <dxf>
      <numFmt numFmtId="4" formatCode="#,##0.0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57A7DE-BBE0-8A4A-A5AC-BBDED34B0CA3}" name="Table14" displayName="Table14" ref="A3:C11" totalsRowCount="1">
  <autoFilter ref="A3:C10" xr:uid="{A64B4753-2C7D-0943-8D9C-AD963F8094D2}"/>
  <tableColumns count="3">
    <tableColumn id="1" xr3:uid="{6A4FBABA-BE30-FD4B-8E8D-23285D5FE128}" name="WIX Pro " totalsRowLabel="Total"/>
    <tableColumn id="2" xr3:uid="{524A1B2F-7833-3E4F-B7B9-51A264CDA280}" name="$29.96 " totalsRowFunction="custom" dataDxfId="16" totalsRowDxfId="15">
      <totalsRowFormula>SUBTOTAL(109,B4:B10)</totalsRowFormula>
    </tableColumn>
    <tableColumn id="3" xr3:uid="{C6860BCE-800A-6243-81A6-47710DE4AB9C}" name="1/7/2021" dataDxfId="14" totalsRow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D85F73-DCF9-4169-9AB7-A2756C103868}" name="Table46" displayName="Table46" ref="A3:D46" totalsRowShown="0">
  <autoFilter ref="A3:D46" xr:uid="{14D85F73-DCF9-4169-9AB7-A2756C103868}"/>
  <tableColumns count="4">
    <tableColumn id="1" xr3:uid="{3C8E62B1-3A13-4A6E-A6E9-998236FAE1A7}" name="Column1"/>
    <tableColumn id="2" xr3:uid="{15BCA3F1-9427-48F1-B2AA-1CBD3704BCC1}" name="Column2" dataDxfId="12"/>
    <tableColumn id="3" xr3:uid="{F3EE0CC9-8F9F-4C6D-99DF-86D658634248}" name="Column3" dataDxfId="11"/>
    <tableColumn id="4" xr3:uid="{D68072AE-37B5-4166-98EC-5F20E121EF77}" name="Column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565619-3280-4262-94C4-986326F2FD43}" name="Table6" displayName="Table6" ref="F3:W73" totalsRowShown="0">
  <autoFilter ref="F3:W73" xr:uid="{DA565619-3280-4262-94C4-986326F2FD43}"/>
  <tableColumns count="18">
    <tableColumn id="15" xr3:uid="{C34FE7F4-9021-4C74-9032-5FC5F6D5067F}" name="Column15" dataDxfId="10"/>
    <tableColumn id="1" xr3:uid="{85DDCE1C-3A30-410B-B157-F09E1BE9F864}" name="Column1"/>
    <tableColumn id="18" xr3:uid="{4D92BA1C-872C-4C0A-AB48-8B616E6DC128}" name="Column18" dataDxfId="9"/>
    <tableColumn id="17" xr3:uid="{EC54851E-70AC-4AFD-BE7B-1908F0F521CA}" name="Column17" dataDxfId="8"/>
    <tableColumn id="16" xr3:uid="{8ECC5388-9268-4B73-92A9-60417B856D5A}" name="Column16" dataDxfId="7"/>
    <tableColumn id="2" xr3:uid="{B881A40D-73DE-4534-B7CB-649685A2156B}" name="Column2"/>
    <tableColumn id="3" xr3:uid="{6C2A7C97-ABC0-4820-8C8C-B93E771BDBD2}" name="Column3"/>
    <tableColumn id="4" xr3:uid="{CE0397EC-3FB8-40C8-A129-EF1C46A9EFFF}" name="Column4"/>
    <tableColumn id="5" xr3:uid="{81B2D74E-57E4-437D-A7E6-16B4AA6AD678}" name="Column5"/>
    <tableColumn id="6" xr3:uid="{51E57795-C43A-4945-893A-AB967AE1E15E}" name="Column6"/>
    <tableColumn id="7" xr3:uid="{FAB06532-DC09-4C8F-A96C-66F3223A0CCC}" name="Column7"/>
    <tableColumn id="8" xr3:uid="{10471A07-3E90-4CD7-BAD7-72799BA36B4A}" name="Column8"/>
    <tableColumn id="9" xr3:uid="{8F394D46-5B64-416D-A33A-3183511EB9F6}" name="Column9"/>
    <tableColumn id="10" xr3:uid="{D4FB098B-2D51-4FF6-BE13-DA31141B5C69}" name="Column10"/>
    <tableColumn id="11" xr3:uid="{E4D9C059-123B-466D-BA66-D0E29162FFDF}" name="Column11"/>
    <tableColumn id="12" xr3:uid="{E6373DEE-03C0-4EFC-ABBE-16346B6F49B1}" name="Column12"/>
    <tableColumn id="13" xr3:uid="{F9E4F1E3-03E6-44F8-884C-FF7C3D574C77}" name="Column13"/>
    <tableColumn id="14" xr3:uid="{1600F98E-0F31-4E73-AFCA-B0C37E7BA685}" name="Column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B61211-5689-4248-A91D-684E0EB4C0FD}" name="Table2" displayName="Table2" ref="E3:H19" totalsRowCount="1">
  <autoFilter ref="E3:H18" xr:uid="{259DF034-74A0-418F-9BC1-26D2A7E4B97A}">
    <filterColumn colId="0" hiddenButton="1"/>
    <filterColumn colId="1" hiddenButton="1"/>
    <filterColumn colId="2" hiddenButton="1"/>
    <filterColumn colId="3" hiddenButton="1"/>
  </autoFilter>
  <tableColumns count="4">
    <tableColumn id="1" xr3:uid="{4F4AF78E-75D6-4F4A-8E46-4AA31E853609}" name="Column1"/>
    <tableColumn id="2" xr3:uid="{936393AC-487E-4322-8A8F-49941CC19EA5}" name="Column2" dataDxfId="6" totalsRowDxfId="0"/>
    <tableColumn id="3" xr3:uid="{F61F2CE0-13BF-43CF-BB7C-3F1F00DE6E8F}" name="Column3" dataDxfId="5"/>
    <tableColumn id="4" xr3:uid="{6CA03E7D-5A57-F34B-9BDD-C81E6C48E9E5}" name="*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52519C-80C8-4890-BD57-EE9180D980D2}" name="Table1" displayName="Table1" ref="A3:C11" totalsRowCount="1">
  <autoFilter ref="A3:C10" xr:uid="{2A4003A3-0744-49BB-B161-96F0337D42B0}"/>
  <tableColumns count="3">
    <tableColumn id="1" xr3:uid="{96400B66-0965-4FAE-9855-9F9BAA45DDB2}" name="WIX Pro " totalsRowLabel="Total"/>
    <tableColumn id="2" xr3:uid="{3DFDD0B9-274A-4244-96B7-498CB7B8DAE0}" name="$29.96 " totalsRowFunction="custom" dataDxfId="4" totalsRowDxfId="3">
      <totalsRowFormula>SUBTOTAL(109,B4:B10)</totalsRowFormula>
    </tableColumn>
    <tableColumn id="3" xr3:uid="{C85FFF88-931F-4B8D-BDDE-DF4C8EE655D0}" name="1/7/2021" dataDxfId="2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table" Target="../tables/table1.xml" /><Relationship Id="rId1" Type="http://schemas.openxmlformats.org/officeDocument/2006/relationships/vmlDrawing" Target="../drawings/vmlDrawing1.v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 /><Relationship Id="rId2" Type="http://schemas.openxmlformats.org/officeDocument/2006/relationships/table" Target="../tables/table2.xml" /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 /><Relationship Id="rId2" Type="http://schemas.openxmlformats.org/officeDocument/2006/relationships/vmlDrawing" Target="../drawings/vmlDrawing2.vml" /><Relationship Id="rId1" Type="http://schemas.openxmlformats.org/officeDocument/2006/relationships/printerSettings" Target="../printerSettings/printerSettings2.bin" /><Relationship Id="rId5" Type="http://schemas.openxmlformats.org/officeDocument/2006/relationships/comments" Target="../comments2.xml" /><Relationship Id="rId4" Type="http://schemas.openxmlformats.org/officeDocument/2006/relationships/table" Target="../tables/table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E953-20DE-423A-82AB-BA7E86788B71}">
  <dimension ref="A1:C31"/>
  <sheetViews>
    <sheetView topLeftCell="A7" workbookViewId="0">
      <selection activeCell="D50" sqref="D50"/>
    </sheetView>
  </sheetViews>
  <sheetFormatPr defaultRowHeight="15" x14ac:dyDescent="0.2"/>
  <cols>
    <col min="1" max="1" width="36.58984375" bestFit="1" customWidth="1"/>
    <col min="2" max="2" width="11.1640625" bestFit="1" customWidth="1"/>
    <col min="3" max="3" width="13.046875" bestFit="1" customWidth="1"/>
  </cols>
  <sheetData>
    <row r="1" spans="1:3" x14ac:dyDescent="0.2">
      <c r="A1" s="1" t="s">
        <v>27</v>
      </c>
      <c r="B1" s="1" t="s">
        <v>0</v>
      </c>
      <c r="C1" s="1" t="s">
        <v>1</v>
      </c>
    </row>
    <row r="2" spans="1:3" x14ac:dyDescent="0.2">
      <c r="A2" s="1" t="s">
        <v>28</v>
      </c>
    </row>
    <row r="3" spans="1:3" x14ac:dyDescent="0.2">
      <c r="A3" t="s">
        <v>3</v>
      </c>
      <c r="B3" s="2" t="s">
        <v>12</v>
      </c>
      <c r="C3" s="3" t="s">
        <v>13</v>
      </c>
    </row>
    <row r="4" spans="1:3" x14ac:dyDescent="0.2">
      <c r="A4" t="s">
        <v>4</v>
      </c>
      <c r="B4" s="2">
        <v>13.91</v>
      </c>
      <c r="C4" s="3">
        <v>44234</v>
      </c>
    </row>
    <row r="5" spans="1:3" x14ac:dyDescent="0.2">
      <c r="A5" t="s">
        <v>25</v>
      </c>
      <c r="B5" s="5">
        <v>29.96</v>
      </c>
      <c r="C5" s="3">
        <v>44234</v>
      </c>
    </row>
    <row r="6" spans="1:3" x14ac:dyDescent="0.2">
      <c r="A6" s="6"/>
      <c r="B6" s="4"/>
      <c r="C6" s="3"/>
    </row>
    <row r="7" spans="1:3" x14ac:dyDescent="0.2">
      <c r="B7" s="4"/>
      <c r="C7" s="3"/>
    </row>
    <row r="8" spans="1:3" x14ac:dyDescent="0.2">
      <c r="A8" t="s">
        <v>5</v>
      </c>
      <c r="B8" s="2"/>
      <c r="C8" s="3"/>
    </row>
    <row r="9" spans="1:3" x14ac:dyDescent="0.2">
      <c r="B9" s="2"/>
      <c r="C9" s="3"/>
    </row>
    <row r="10" spans="1:3" x14ac:dyDescent="0.2">
      <c r="A10" s="6"/>
      <c r="B10" s="2"/>
      <c r="C10" s="3"/>
    </row>
    <row r="11" spans="1:3" x14ac:dyDescent="0.2">
      <c r="A11" t="s">
        <v>2</v>
      </c>
      <c r="B11" s="2">
        <f t="shared" ref="B11" si="0">SUBTOTAL(109,B4:B10)</f>
        <v>43.870000000000005</v>
      </c>
      <c r="C11" s="3"/>
    </row>
    <row r="12" spans="1:3" x14ac:dyDescent="0.2">
      <c r="A12" s="1"/>
      <c r="B12" s="2"/>
    </row>
    <row r="14" spans="1:3" x14ac:dyDescent="0.2">
      <c r="A14" s="1" t="s">
        <v>7</v>
      </c>
      <c r="B14" s="1" t="s">
        <v>0</v>
      </c>
      <c r="C14" s="1" t="s">
        <v>1</v>
      </c>
    </row>
    <row r="16" spans="1:3" x14ac:dyDescent="0.2">
      <c r="A16" t="s">
        <v>6</v>
      </c>
      <c r="B16" s="2">
        <v>100</v>
      </c>
      <c r="C16" s="3">
        <v>44562</v>
      </c>
    </row>
    <row r="17" spans="1:3" x14ac:dyDescent="0.2">
      <c r="A17" t="s">
        <v>17</v>
      </c>
      <c r="B17" t="s">
        <v>19</v>
      </c>
      <c r="C17" s="8">
        <v>44531</v>
      </c>
    </row>
    <row r="18" spans="1:3" x14ac:dyDescent="0.2">
      <c r="A18" t="s">
        <v>18</v>
      </c>
      <c r="B18" t="s">
        <v>19</v>
      </c>
      <c r="C18" s="8">
        <v>44531</v>
      </c>
    </row>
    <row r="19" spans="1:3" x14ac:dyDescent="0.2">
      <c r="A19" t="s">
        <v>21</v>
      </c>
    </row>
    <row r="25" spans="1:3" x14ac:dyDescent="0.2">
      <c r="A25" t="s">
        <v>22</v>
      </c>
      <c r="B25">
        <v>1508.07</v>
      </c>
    </row>
    <row r="26" spans="1:3" x14ac:dyDescent="0.2">
      <c r="A26" t="s">
        <v>23</v>
      </c>
      <c r="B26">
        <v>906.31</v>
      </c>
    </row>
    <row r="27" spans="1:3" x14ac:dyDescent="0.2">
      <c r="A27" t="s">
        <v>24</v>
      </c>
      <c r="B27">
        <v>281</v>
      </c>
    </row>
    <row r="28" spans="1:3" x14ac:dyDescent="0.2">
      <c r="A28" t="s">
        <v>22</v>
      </c>
      <c r="B28">
        <v>321.76</v>
      </c>
    </row>
    <row r="31" spans="1:3" x14ac:dyDescent="0.2">
      <c r="A31" t="s">
        <v>26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DA31-A24C-41AB-A53A-8CA37699EA77}">
  <dimension ref="A3:W73"/>
  <sheetViews>
    <sheetView topLeftCell="O1" workbookViewId="0">
      <selection activeCell="I55" sqref="I55"/>
    </sheetView>
  </sheetViews>
  <sheetFormatPr defaultRowHeight="15" x14ac:dyDescent="0.2"/>
  <cols>
    <col min="5" max="5" width="29.0546875" customWidth="1"/>
    <col min="6" max="6" width="17.3515625" customWidth="1"/>
    <col min="7" max="7" width="18.5625" customWidth="1"/>
    <col min="8" max="8" width="19.234375" customWidth="1"/>
    <col min="9" max="9" width="22.328125" customWidth="1"/>
    <col min="10" max="10" width="22.05859375" customWidth="1"/>
    <col min="11" max="11" width="28.11328125" customWidth="1"/>
    <col min="12" max="12" width="9.55078125" bestFit="1" customWidth="1"/>
  </cols>
  <sheetData>
    <row r="3" spans="1:23" x14ac:dyDescent="0.2">
      <c r="A3" t="s">
        <v>14</v>
      </c>
      <c r="B3" s="11" t="s">
        <v>15</v>
      </c>
      <c r="C3" t="s">
        <v>16</v>
      </c>
      <c r="D3" t="s">
        <v>44</v>
      </c>
      <c r="F3" s="1" t="s">
        <v>93</v>
      </c>
      <c r="G3" s="1" t="s">
        <v>14</v>
      </c>
      <c r="H3" s="1" t="s">
        <v>106</v>
      </c>
      <c r="I3" s="1" t="s">
        <v>97</v>
      </c>
      <c r="J3" s="1" t="s">
        <v>95</v>
      </c>
      <c r="K3" s="1" t="s">
        <v>15</v>
      </c>
      <c r="L3" s="1" t="s">
        <v>16</v>
      </c>
      <c r="M3" s="1" t="s">
        <v>44</v>
      </c>
      <c r="N3" s="1" t="s">
        <v>80</v>
      </c>
      <c r="O3" s="1" t="s">
        <v>81</v>
      </c>
      <c r="P3" s="1" t="s">
        <v>82</v>
      </c>
      <c r="Q3" s="1" t="s">
        <v>83</v>
      </c>
      <c r="R3" s="1" t="s">
        <v>84</v>
      </c>
      <c r="S3" s="1" t="s">
        <v>85</v>
      </c>
      <c r="T3" s="1" t="s">
        <v>86</v>
      </c>
      <c r="U3" s="1" t="s">
        <v>87</v>
      </c>
      <c r="V3" s="1" t="s">
        <v>88</v>
      </c>
      <c r="W3" s="1" t="s">
        <v>89</v>
      </c>
    </row>
    <row r="4" spans="1:23" x14ac:dyDescent="0.2">
      <c r="A4" t="s">
        <v>45</v>
      </c>
      <c r="B4" s="26">
        <v>250</v>
      </c>
      <c r="C4" s="29" t="s">
        <v>55</v>
      </c>
      <c r="F4" s="35"/>
      <c r="G4" s="35" t="s">
        <v>90</v>
      </c>
      <c r="H4" s="35"/>
      <c r="I4" s="35"/>
      <c r="J4" s="35"/>
      <c r="K4" s="1" t="s">
        <v>91</v>
      </c>
      <c r="L4" s="1" t="s">
        <v>92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">
      <c r="A5" s="1" t="s">
        <v>53</v>
      </c>
      <c r="B5" s="27">
        <v>250</v>
      </c>
      <c r="C5" s="29" t="s">
        <v>55</v>
      </c>
      <c r="E5" s="36"/>
      <c r="F5" s="1"/>
      <c r="G5" s="1" t="s">
        <v>101</v>
      </c>
      <c r="H5" s="1"/>
      <c r="I5" s="1"/>
      <c r="J5" s="1"/>
      <c r="K5" s="7">
        <v>0</v>
      </c>
      <c r="L5" s="7"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">
      <c r="A6" t="s">
        <v>49</v>
      </c>
      <c r="B6" s="28">
        <v>300</v>
      </c>
      <c r="C6" s="29" t="s">
        <v>55</v>
      </c>
      <c r="E6" s="36"/>
      <c r="F6" s="1"/>
      <c r="G6" s="1" t="s">
        <v>94</v>
      </c>
      <c r="H6" s="1" t="s">
        <v>107</v>
      </c>
      <c r="I6" s="1" t="s">
        <v>96</v>
      </c>
      <c r="J6" s="1" t="s">
        <v>103</v>
      </c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">
      <c r="A7" t="s">
        <v>47</v>
      </c>
      <c r="B7" s="28">
        <v>35</v>
      </c>
      <c r="C7" s="29" t="s">
        <v>55</v>
      </c>
      <c r="E7" s="36"/>
      <c r="F7" s="1"/>
      <c r="G7" s="1">
        <v>75</v>
      </c>
      <c r="H7" s="1"/>
      <c r="I7" s="1">
        <v>8.65</v>
      </c>
      <c r="J7" s="1">
        <v>22.18</v>
      </c>
      <c r="K7" s="7"/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">
      <c r="A8" t="s">
        <v>50</v>
      </c>
      <c r="B8" s="28">
        <v>150</v>
      </c>
      <c r="C8" s="29" t="s">
        <v>42</v>
      </c>
      <c r="F8" s="1"/>
      <c r="G8" s="1">
        <v>50</v>
      </c>
      <c r="H8" s="1"/>
      <c r="I8" s="1">
        <v>75</v>
      </c>
      <c r="J8" s="1">
        <v>7.56</v>
      </c>
      <c r="K8" s="7"/>
      <c r="L8" s="7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">
      <c r="A9" t="s">
        <v>51</v>
      </c>
      <c r="B9" s="28">
        <v>50</v>
      </c>
      <c r="C9" s="29" t="s">
        <v>42</v>
      </c>
      <c r="F9" s="1"/>
      <c r="G9" s="1"/>
      <c r="H9" s="1"/>
      <c r="I9" s="1">
        <v>75</v>
      </c>
      <c r="J9" s="1">
        <v>27.05</v>
      </c>
      <c r="K9" s="7"/>
      <c r="L9" s="7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">
      <c r="A10" t="s">
        <v>52</v>
      </c>
      <c r="B10" s="28">
        <v>465</v>
      </c>
      <c r="C10" s="29" t="s">
        <v>42</v>
      </c>
      <c r="F10" s="1"/>
      <c r="G10" s="1"/>
      <c r="H10" s="1"/>
      <c r="I10" s="1">
        <v>41.63</v>
      </c>
      <c r="J10" s="1"/>
      <c r="K10" s="7"/>
      <c r="L10" s="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">
      <c r="A11" t="s">
        <v>48</v>
      </c>
      <c r="B11" s="28">
        <v>2500</v>
      </c>
      <c r="C11" s="29" t="s">
        <v>56</v>
      </c>
      <c r="F11" s="1"/>
      <c r="G11" s="1"/>
      <c r="H11" s="1"/>
      <c r="I11" s="1">
        <v>5.4</v>
      </c>
      <c r="J11" s="1"/>
      <c r="K11" s="7"/>
      <c r="L11" s="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">
      <c r="A12" t="s">
        <v>54</v>
      </c>
      <c r="B12" s="28">
        <v>99</v>
      </c>
      <c r="C12" s="29" t="s">
        <v>57</v>
      </c>
      <c r="D12" t="s">
        <v>62</v>
      </c>
      <c r="F12" s="1"/>
      <c r="G12" s="1"/>
      <c r="H12" s="1"/>
      <c r="I12" s="1" t="s">
        <v>105</v>
      </c>
      <c r="J12" s="1"/>
      <c r="K12" s="7"/>
      <c r="L12" s="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">
      <c r="A13" t="s">
        <v>46</v>
      </c>
      <c r="B13" s="28">
        <v>2000</v>
      </c>
      <c r="C13" s="29" t="s">
        <v>57</v>
      </c>
      <c r="F13" s="1"/>
      <c r="G13" s="1"/>
      <c r="H13" s="1"/>
      <c r="I13" s="1"/>
      <c r="J13" s="1"/>
      <c r="K13" s="7"/>
      <c r="L13" s="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">
      <c r="B14" s="29"/>
      <c r="C14" s="29"/>
      <c r="F14" s="1"/>
      <c r="G14" s="1"/>
      <c r="H14" s="1"/>
      <c r="I14" s="1"/>
      <c r="J14" s="1"/>
      <c r="K14" s="7"/>
      <c r="L14" s="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">
      <c r="A15" s="32" t="s">
        <v>77</v>
      </c>
      <c r="B15" s="29"/>
      <c r="C15" s="29"/>
      <c r="F15" s="1"/>
      <c r="G15" s="1"/>
      <c r="H15" s="1"/>
      <c r="I15" s="1"/>
      <c r="J15" s="1"/>
      <c r="K15" s="7"/>
      <c r="L15" s="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">
      <c r="A16" t="s">
        <v>41</v>
      </c>
      <c r="B16" s="28">
        <v>835</v>
      </c>
      <c r="C16" s="28"/>
      <c r="F16" s="1"/>
      <c r="G16" s="1" t="s">
        <v>100</v>
      </c>
      <c r="H16" s="1"/>
      <c r="I16" s="1"/>
      <c r="J16" s="1"/>
      <c r="K16" s="7">
        <v>0</v>
      </c>
      <c r="L16" s="7"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">
      <c r="A17" t="s">
        <v>40</v>
      </c>
      <c r="B17" s="28">
        <v>4005</v>
      </c>
      <c r="C17" s="29" t="s">
        <v>78</v>
      </c>
      <c r="F17" s="1"/>
      <c r="G17" s="1" t="s">
        <v>94</v>
      </c>
      <c r="H17" s="1" t="s">
        <v>107</v>
      </c>
      <c r="I17" s="1" t="s">
        <v>96</v>
      </c>
      <c r="J17" s="1" t="s">
        <v>103</v>
      </c>
      <c r="K17" s="7"/>
      <c r="L17" s="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">
      <c r="A18" t="s">
        <v>39</v>
      </c>
      <c r="B18" s="30">
        <v>53900</v>
      </c>
      <c r="C18" s="30"/>
      <c r="F18" s="1"/>
      <c r="G18" s="1"/>
      <c r="H18" s="1"/>
      <c r="I18" s="1" t="s">
        <v>109</v>
      </c>
      <c r="J18" s="1"/>
      <c r="K18" s="7"/>
      <c r="L18" s="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">
      <c r="B19" s="30"/>
      <c r="C19" s="30"/>
      <c r="F19" s="1"/>
      <c r="G19" s="1"/>
      <c r="H19" s="1"/>
      <c r="I19" s="1" t="s">
        <v>108</v>
      </c>
      <c r="J19" s="1"/>
      <c r="K19" s="7"/>
      <c r="L19" s="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">
      <c r="A20" t="s">
        <v>58</v>
      </c>
      <c r="B20" s="29" t="s">
        <v>59</v>
      </c>
      <c r="C20" s="29"/>
      <c r="F20" s="1"/>
      <c r="G20" s="1"/>
      <c r="H20" s="1"/>
      <c r="I20" s="1"/>
      <c r="J20" s="1"/>
      <c r="K20" s="7"/>
      <c r="L20" s="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">
      <c r="A21" t="s">
        <v>60</v>
      </c>
      <c r="B21" s="29" t="s">
        <v>61</v>
      </c>
      <c r="C21" s="29"/>
      <c r="F21" s="1"/>
      <c r="G21" s="1"/>
      <c r="H21" s="1"/>
      <c r="I21" s="1"/>
      <c r="J21" s="1"/>
      <c r="K21" s="7"/>
      <c r="L21" s="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">
      <c r="A22" s="29" t="s">
        <v>68</v>
      </c>
      <c r="B22" s="29" t="s">
        <v>67</v>
      </c>
      <c r="C22" s="29"/>
      <c r="F22" s="1"/>
      <c r="G22" s="1"/>
      <c r="H22" s="1"/>
      <c r="I22" s="1"/>
      <c r="J22" s="1"/>
      <c r="K22" s="7"/>
      <c r="L22" s="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">
      <c r="B23" s="29"/>
      <c r="C23" s="29"/>
      <c r="F23" s="1"/>
      <c r="G23" s="1"/>
      <c r="H23" s="1"/>
      <c r="I23" s="1"/>
      <c r="J23" s="1"/>
      <c r="K23" s="7"/>
      <c r="L23" s="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">
      <c r="A24" s="32" t="s">
        <v>79</v>
      </c>
      <c r="B24" s="33">
        <v>2800</v>
      </c>
      <c r="C24" s="33">
        <v>3600</v>
      </c>
      <c r="D24" s="32"/>
      <c r="F24" s="1"/>
      <c r="G24" s="1"/>
      <c r="H24" s="1"/>
      <c r="I24" s="1"/>
      <c r="J24" s="1"/>
      <c r="K24" s="7"/>
      <c r="L24" s="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">
      <c r="B25" s="29"/>
      <c r="C25" s="29"/>
      <c r="F25" s="1"/>
      <c r="G25" s="1"/>
      <c r="H25" s="1"/>
      <c r="I25" s="1"/>
      <c r="J25" s="1"/>
      <c r="K25" s="7"/>
      <c r="L25" s="7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">
      <c r="A26" s="32" t="s">
        <v>71</v>
      </c>
      <c r="B26" s="34" t="s">
        <v>72</v>
      </c>
      <c r="C26" s="34" t="s">
        <v>73</v>
      </c>
      <c r="D26" s="32"/>
      <c r="F26" s="1"/>
      <c r="G26" s="1"/>
      <c r="H26" s="1"/>
      <c r="I26" s="1"/>
      <c r="J26" s="1"/>
      <c r="K26" s="7"/>
      <c r="L26" s="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">
      <c r="A27" s="32" t="s">
        <v>75</v>
      </c>
      <c r="B27" s="29"/>
      <c r="C27" s="29"/>
      <c r="F27" s="1"/>
      <c r="G27" s="1"/>
      <c r="H27" s="1"/>
      <c r="I27" s="1"/>
      <c r="J27" s="1"/>
      <c r="K27" s="7"/>
      <c r="L27" s="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">
      <c r="A28" t="s">
        <v>69</v>
      </c>
      <c r="B28" s="31">
        <v>2101.5</v>
      </c>
      <c r="C28" s="30">
        <v>2700</v>
      </c>
      <c r="F28" s="1"/>
      <c r="G28" s="1"/>
      <c r="H28" s="1"/>
      <c r="I28" s="1"/>
      <c r="J28" s="1"/>
      <c r="K28" s="7"/>
      <c r="L28" s="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">
      <c r="A29" t="s">
        <v>70</v>
      </c>
      <c r="B29" s="30">
        <v>2335</v>
      </c>
      <c r="C29" s="30">
        <v>3000</v>
      </c>
      <c r="F29" s="1"/>
      <c r="G29" s="1" t="s">
        <v>102</v>
      </c>
      <c r="H29" s="1"/>
      <c r="I29" s="1"/>
      <c r="J29" s="1"/>
      <c r="K29" s="7">
        <v>2000</v>
      </c>
      <c r="L29" s="1">
        <v>-48.41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">
      <c r="A30" s="32" t="s">
        <v>74</v>
      </c>
      <c r="B30" s="29"/>
      <c r="C30" s="29"/>
      <c r="F30" s="1"/>
      <c r="G30" s="1" t="s">
        <v>94</v>
      </c>
      <c r="H30" s="1" t="s">
        <v>107</v>
      </c>
      <c r="I30" s="1" t="s">
        <v>96</v>
      </c>
      <c r="J30" s="1" t="s">
        <v>103</v>
      </c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">
      <c r="A31" t="s">
        <v>69</v>
      </c>
      <c r="B31" s="30">
        <v>1575</v>
      </c>
      <c r="C31" s="30">
        <v>2025</v>
      </c>
      <c r="F31" s="1"/>
      <c r="G31" s="1"/>
      <c r="H31" s="1"/>
      <c r="I31" s="1"/>
      <c r="J31" s="1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">
      <c r="A32" t="s">
        <v>70</v>
      </c>
      <c r="B32" s="29">
        <v>1.75</v>
      </c>
      <c r="C32" s="30">
        <v>2250</v>
      </c>
      <c r="F32" s="1" t="s">
        <v>112</v>
      </c>
      <c r="G32" s="1">
        <v>444.9</v>
      </c>
      <c r="H32" s="1" t="s">
        <v>113</v>
      </c>
      <c r="I32" s="1" t="s">
        <v>104</v>
      </c>
      <c r="J32" s="1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">
      <c r="B33" s="29"/>
      <c r="C33" s="29"/>
      <c r="F33" s="1" t="s">
        <v>112</v>
      </c>
      <c r="G33" s="1">
        <v>199.95</v>
      </c>
      <c r="H33" s="1">
        <v>107.14</v>
      </c>
      <c r="I33" s="1"/>
      <c r="J33" s="1"/>
      <c r="K33" s="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">
      <c r="A34" s="32" t="s">
        <v>65</v>
      </c>
      <c r="B34" s="26" t="s">
        <v>72</v>
      </c>
      <c r="C34" s="26" t="s">
        <v>72</v>
      </c>
      <c r="D34" s="32"/>
      <c r="F34" s="1" t="s">
        <v>112</v>
      </c>
      <c r="G34" s="1">
        <v>205.91</v>
      </c>
      <c r="H34" s="1">
        <v>143.57</v>
      </c>
      <c r="I34" s="1"/>
      <c r="J34" s="1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">
      <c r="A35" t="s">
        <v>76</v>
      </c>
      <c r="B35" s="27">
        <v>5040</v>
      </c>
      <c r="C35" s="28">
        <v>6480</v>
      </c>
      <c r="D35" s="32"/>
      <c r="F35" s="1" t="s">
        <v>112</v>
      </c>
      <c r="G35" s="1">
        <v>213.63</v>
      </c>
      <c r="H35" s="1">
        <v>107.14</v>
      </c>
      <c r="I35" s="1"/>
      <c r="J35" s="1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">
      <c r="A36" t="s">
        <v>63</v>
      </c>
      <c r="B36" s="30">
        <v>21840</v>
      </c>
      <c r="C36" s="30">
        <v>28080</v>
      </c>
      <c r="F36" s="1" t="s">
        <v>112</v>
      </c>
      <c r="G36" s="1">
        <v>386.17</v>
      </c>
      <c r="H36" s="1"/>
      <c r="I36" s="1"/>
      <c r="J36" s="1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">
      <c r="A37" t="s">
        <v>64</v>
      </c>
      <c r="B37" s="30">
        <v>262080</v>
      </c>
      <c r="C37" s="30">
        <v>336960</v>
      </c>
      <c r="F37" s="1"/>
      <c r="G37" s="1"/>
      <c r="H37" s="1"/>
      <c r="I37" s="1"/>
      <c r="J37" s="1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">
      <c r="B38" s="29"/>
      <c r="C38" s="29"/>
      <c r="F38" s="1"/>
      <c r="G38" s="1"/>
      <c r="H38" s="1"/>
      <c r="I38" s="1"/>
      <c r="J38" s="1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">
      <c r="A39" s="32" t="s">
        <v>66</v>
      </c>
      <c r="B39" s="26" t="s">
        <v>72</v>
      </c>
      <c r="C39" s="26" t="s">
        <v>72</v>
      </c>
      <c r="D39" s="32"/>
      <c r="F39" s="1"/>
      <c r="G39" s="1"/>
      <c r="H39" s="1"/>
      <c r="I39" s="1"/>
      <c r="J39" s="1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">
      <c r="A40" t="s">
        <v>76</v>
      </c>
      <c r="B40" s="28">
        <v>5600</v>
      </c>
      <c r="C40" s="28">
        <v>7200</v>
      </c>
      <c r="D40" s="32"/>
      <c r="F40" s="1"/>
      <c r="G40" s="1"/>
      <c r="H40" s="1"/>
      <c r="I40" s="1"/>
      <c r="J40" s="1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">
      <c r="A41" t="s">
        <v>63</v>
      </c>
      <c r="B41" s="30">
        <v>24266</v>
      </c>
      <c r="C41" s="30">
        <v>31200</v>
      </c>
      <c r="F41" s="1"/>
      <c r="G41" s="1"/>
      <c r="H41" s="1"/>
      <c r="I41" s="1"/>
      <c r="J41" s="1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">
      <c r="A42" t="s">
        <v>64</v>
      </c>
      <c r="B42" s="30">
        <v>291200</v>
      </c>
      <c r="C42" s="30">
        <v>374400</v>
      </c>
      <c r="F42" s="1"/>
      <c r="G42" s="1" t="s">
        <v>98</v>
      </c>
      <c r="H42" s="1"/>
      <c r="I42" s="1"/>
      <c r="J42" s="1"/>
      <c r="K42" s="7">
        <v>6000</v>
      </c>
      <c r="L42" s="2">
        <v>1253.93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">
      <c r="B43" s="29"/>
      <c r="C43" s="29"/>
      <c r="F43" s="1"/>
      <c r="G43" s="1" t="s">
        <v>94</v>
      </c>
      <c r="H43" s="1" t="s">
        <v>107</v>
      </c>
      <c r="I43" s="1" t="s">
        <v>96</v>
      </c>
      <c r="J43" s="1" t="s">
        <v>103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">
      <c r="B44" s="29"/>
      <c r="C44" s="29"/>
      <c r="F44" s="1" t="s">
        <v>112</v>
      </c>
      <c r="G44" s="1">
        <v>499.11</v>
      </c>
      <c r="H44" s="1" t="s">
        <v>111</v>
      </c>
      <c r="I44" s="1">
        <v>79.94</v>
      </c>
      <c r="J44" s="1">
        <v>18.22</v>
      </c>
      <c r="K44" s="3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">
      <c r="B45" s="29"/>
      <c r="C45" s="29"/>
      <c r="F45" s="1" t="s">
        <v>112</v>
      </c>
      <c r="G45" s="1">
        <v>565.21</v>
      </c>
      <c r="H45" s="1">
        <v>250</v>
      </c>
      <c r="I45" s="1" t="s">
        <v>104</v>
      </c>
      <c r="J45" s="1">
        <v>20.12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">
      <c r="B46" s="29"/>
      <c r="C46" s="29"/>
      <c r="F46" s="1" t="s">
        <v>112</v>
      </c>
      <c r="G46" s="1">
        <v>514.09</v>
      </c>
      <c r="H46" s="1">
        <v>335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">
      <c r="F47" s="1" t="s">
        <v>112</v>
      </c>
      <c r="G47" s="1">
        <v>195.95</v>
      </c>
      <c r="H47" s="1">
        <v>250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">
      <c r="F48" s="1" t="s">
        <v>112</v>
      </c>
      <c r="G48" s="1">
        <v>396.56</v>
      </c>
      <c r="H48" s="1">
        <v>150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6:23" x14ac:dyDescent="0.2">
      <c r="F49" s="1"/>
      <c r="G49" s="1"/>
      <c r="H49" s="1">
        <v>390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6:23" x14ac:dyDescent="0.2">
      <c r="F50" s="1" t="s">
        <v>112</v>
      </c>
      <c r="G50" s="1">
        <v>300.16000000000003</v>
      </c>
      <c r="H50" s="1">
        <v>50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6:23" x14ac:dyDescent="0.2">
      <c r="F51" s="1"/>
      <c r="G51" s="1"/>
      <c r="H51" s="1">
        <v>99.99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6:23" x14ac:dyDescent="0.2">
      <c r="F52" s="1"/>
      <c r="G52" s="1"/>
      <c r="H52" s="1">
        <v>30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6:23" x14ac:dyDescent="0.2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6:23" x14ac:dyDescent="0.2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6:23" x14ac:dyDescent="0.2">
      <c r="F55" s="1"/>
      <c r="G55" s="1" t="s">
        <v>99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6:23" x14ac:dyDescent="0.2">
      <c r="F56" s="1"/>
      <c r="G56" s="1" t="s">
        <v>94</v>
      </c>
      <c r="H56" s="1" t="s">
        <v>107</v>
      </c>
      <c r="I56" s="1" t="s">
        <v>96</v>
      </c>
      <c r="J56" s="1" t="s">
        <v>103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6:23" x14ac:dyDescent="0.2">
      <c r="F57" s="1"/>
      <c r="G57" s="1">
        <v>403.9</v>
      </c>
      <c r="H57" s="1"/>
      <c r="I57" s="1">
        <v>14.25</v>
      </c>
      <c r="J57" s="1">
        <v>66.7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6:23" x14ac:dyDescent="0.2">
      <c r="F58" s="1"/>
      <c r="G58" s="1">
        <v>300.16000000000003</v>
      </c>
      <c r="H58" s="1"/>
      <c r="I58" s="1" t="s">
        <v>104</v>
      </c>
      <c r="J58" s="1">
        <v>66.7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6:23" x14ac:dyDescent="0.2">
      <c r="F59" s="1"/>
      <c r="G59" s="1">
        <v>285.7</v>
      </c>
      <c r="H59" s="1"/>
      <c r="I59" s="1">
        <v>4.38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6:23" x14ac:dyDescent="0.2">
      <c r="F60" s="1"/>
      <c r="G60" s="1">
        <v>276.55</v>
      </c>
      <c r="H60" s="1"/>
      <c r="I60" s="1" t="s">
        <v>110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6:23" x14ac:dyDescent="0.2">
      <c r="F61" s="1"/>
      <c r="G61" s="1">
        <v>197.95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6:23" x14ac:dyDescent="0.2">
      <c r="F62" s="1"/>
      <c r="G62" s="1">
        <v>225.91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6:23" x14ac:dyDescent="0.2"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6:23" x14ac:dyDescent="0.2"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6:23" x14ac:dyDescent="0.2"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6:23" x14ac:dyDescent="0.2"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6:23" x14ac:dyDescent="0.2"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6:23" x14ac:dyDescent="0.2"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6:23" x14ac:dyDescent="0.2"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6:23" x14ac:dyDescent="0.2"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6:23" x14ac:dyDescent="0.2"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6:23" x14ac:dyDescent="0.2"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6:23" x14ac:dyDescent="0.2"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</sheetData>
  <phoneticPr fontId="3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83C31-67B9-4CCB-B829-A03CFC4C7671}">
  <dimension ref="A1:J31"/>
  <sheetViews>
    <sheetView tabSelected="1" topLeftCell="D1" zoomScale="63" zoomScaleNormal="115" workbookViewId="0">
      <selection activeCell="F10" sqref="F10"/>
    </sheetView>
  </sheetViews>
  <sheetFormatPr defaultRowHeight="15" x14ac:dyDescent="0.2"/>
  <cols>
    <col min="1" max="1" width="30.265625" customWidth="1"/>
    <col min="2" max="2" width="11.703125" customWidth="1"/>
    <col min="3" max="3" width="13.44921875" customWidth="1"/>
    <col min="4" max="4" width="18.29296875" customWidth="1"/>
    <col min="5" max="5" width="16.0078125" bestFit="1" customWidth="1"/>
    <col min="6" max="6" width="11.703125" customWidth="1"/>
    <col min="7" max="7" width="16.8125" customWidth="1"/>
    <col min="8" max="8" width="11.703125" bestFit="1" customWidth="1"/>
    <col min="9" max="9" width="32.8203125" bestFit="1" customWidth="1"/>
  </cols>
  <sheetData>
    <row r="1" spans="1:10" ht="18.75" customHeight="1" x14ac:dyDescent="0.2">
      <c r="A1" s="1" t="s">
        <v>27</v>
      </c>
      <c r="B1" s="1" t="s">
        <v>0</v>
      </c>
      <c r="C1" s="1" t="s">
        <v>1</v>
      </c>
      <c r="E1" s="1" t="s">
        <v>11</v>
      </c>
      <c r="F1" s="1" t="s">
        <v>0</v>
      </c>
      <c r="G1" s="1" t="s">
        <v>1</v>
      </c>
      <c r="I1" s="1"/>
      <c r="J1" s="1"/>
    </row>
    <row r="2" spans="1:10" x14ac:dyDescent="0.2">
      <c r="A2" s="1" t="s">
        <v>28</v>
      </c>
      <c r="E2" s="1"/>
    </row>
    <row r="3" spans="1:10" x14ac:dyDescent="0.2">
      <c r="A3" t="s">
        <v>3</v>
      </c>
      <c r="B3" s="2" t="s">
        <v>12</v>
      </c>
      <c r="C3" s="3" t="s">
        <v>13</v>
      </c>
      <c r="E3" t="s">
        <v>14</v>
      </c>
      <c r="F3" s="2" t="s">
        <v>15</v>
      </c>
      <c r="G3" s="3" t="s">
        <v>16</v>
      </c>
      <c r="H3" s="9" t="s">
        <v>20</v>
      </c>
      <c r="J3" s="7"/>
    </row>
    <row r="4" spans="1:10" x14ac:dyDescent="0.2">
      <c r="B4" s="2"/>
      <c r="C4" s="3">
        <v>44234</v>
      </c>
      <c r="E4" t="s">
        <v>10</v>
      </c>
      <c r="F4" s="2">
        <v>1400</v>
      </c>
      <c r="G4" s="7" t="s">
        <v>31</v>
      </c>
      <c r="H4" s="9" t="s">
        <v>20</v>
      </c>
      <c r="J4" s="7"/>
    </row>
    <row r="5" spans="1:10" x14ac:dyDescent="0.2">
      <c r="A5" t="s">
        <v>25</v>
      </c>
      <c r="B5" s="5">
        <v>21</v>
      </c>
      <c r="C5" s="3">
        <v>44234</v>
      </c>
      <c r="E5" t="s">
        <v>32</v>
      </c>
      <c r="F5" s="2">
        <v>100</v>
      </c>
      <c r="G5" s="3" t="s">
        <v>34</v>
      </c>
      <c r="J5" s="7"/>
    </row>
    <row r="6" spans="1:10" x14ac:dyDescent="0.2">
      <c r="A6" s="6"/>
      <c r="B6" s="4"/>
      <c r="C6" s="3"/>
      <c r="E6" t="s">
        <v>9</v>
      </c>
      <c r="F6" s="2">
        <v>155</v>
      </c>
      <c r="G6" s="3" t="s">
        <v>33</v>
      </c>
      <c r="J6" s="7"/>
    </row>
    <row r="7" spans="1:10" x14ac:dyDescent="0.2">
      <c r="B7" s="4"/>
      <c r="C7" s="3"/>
      <c r="E7" s="6" t="s">
        <v>35</v>
      </c>
      <c r="F7" s="4">
        <v>110</v>
      </c>
      <c r="G7" s="3" t="s">
        <v>36</v>
      </c>
      <c r="J7" s="11"/>
    </row>
    <row r="8" spans="1:10" x14ac:dyDescent="0.2">
      <c r="B8" s="2"/>
      <c r="C8" s="3"/>
      <c r="E8" t="s">
        <v>8</v>
      </c>
      <c r="F8" s="2">
        <v>95</v>
      </c>
      <c r="G8" s="3" t="s">
        <v>37</v>
      </c>
      <c r="H8" s="9" t="s">
        <v>20</v>
      </c>
      <c r="J8" s="7"/>
    </row>
    <row r="9" spans="1:10" s="12" customFormat="1" ht="15.75" thickBot="1" x14ac:dyDescent="0.25">
      <c r="B9" s="13"/>
      <c r="C9" s="14"/>
      <c r="E9" s="6" t="s">
        <v>38</v>
      </c>
      <c r="F9" s="2">
        <v>16.57</v>
      </c>
      <c r="G9" s="1" t="s">
        <v>114</v>
      </c>
      <c r="H9" s="15" t="s">
        <v>20</v>
      </c>
      <c r="J9" s="16"/>
    </row>
    <row r="10" spans="1:10" x14ac:dyDescent="0.2">
      <c r="A10" s="6"/>
      <c r="B10" s="2"/>
      <c r="C10" s="3"/>
      <c r="F10" s="2"/>
      <c r="G10" s="3"/>
      <c r="J10" s="10"/>
    </row>
    <row r="11" spans="1:10" x14ac:dyDescent="0.2">
      <c r="A11" t="s">
        <v>2</v>
      </c>
      <c r="B11" s="2">
        <f t="shared" ref="B11" si="0">SUBTOTAL(109,B4:B10)</f>
        <v>21</v>
      </c>
      <c r="C11" s="3"/>
      <c r="E11" s="6"/>
      <c r="F11" s="2"/>
      <c r="G11" s="3"/>
    </row>
    <row r="12" spans="1:10" x14ac:dyDescent="0.2">
      <c r="A12" s="1"/>
      <c r="B12" s="2"/>
      <c r="E12" t="s">
        <v>29</v>
      </c>
      <c r="F12" s="2">
        <v>50</v>
      </c>
      <c r="G12" s="3" t="s">
        <v>31</v>
      </c>
    </row>
    <row r="13" spans="1:10" ht="15.75" thickBot="1" x14ac:dyDescent="0.25">
      <c r="E13" t="s">
        <v>30</v>
      </c>
      <c r="F13" s="2">
        <v>400</v>
      </c>
      <c r="G13" s="3" t="s">
        <v>31</v>
      </c>
    </row>
    <row r="14" spans="1:10" ht="15.75" thickTop="1" x14ac:dyDescent="0.2">
      <c r="A14" s="1" t="s">
        <v>7</v>
      </c>
      <c r="B14" s="1" t="s">
        <v>0</v>
      </c>
      <c r="C14" s="1" t="s">
        <v>1</v>
      </c>
      <c r="E14" s="17" t="s">
        <v>43</v>
      </c>
      <c r="F14" s="18">
        <v>650</v>
      </c>
      <c r="G14" s="20" t="s">
        <v>31</v>
      </c>
      <c r="H14" s="19"/>
    </row>
    <row r="15" spans="1:10" x14ac:dyDescent="0.2">
      <c r="F15" s="2"/>
      <c r="G15" s="3"/>
    </row>
    <row r="16" spans="1:10" x14ac:dyDescent="0.2">
      <c r="A16" t="s">
        <v>6</v>
      </c>
      <c r="B16" s="2">
        <v>100</v>
      </c>
      <c r="C16" s="3">
        <v>44562</v>
      </c>
      <c r="E16" t="s">
        <v>41</v>
      </c>
      <c r="F16" s="2">
        <v>697.74</v>
      </c>
      <c r="G16" s="3"/>
      <c r="H16" s="25"/>
    </row>
    <row r="17" spans="1:8" ht="15.75" thickBot="1" x14ac:dyDescent="0.25">
      <c r="A17" t="s">
        <v>17</v>
      </c>
      <c r="B17" t="s">
        <v>19</v>
      </c>
      <c r="C17" s="8">
        <v>44531</v>
      </c>
      <c r="E17" t="s">
        <v>40</v>
      </c>
      <c r="F17" s="2">
        <v>3023.55</v>
      </c>
      <c r="G17" s="3"/>
      <c r="H17" s="24"/>
    </row>
    <row r="18" spans="1:8" ht="15.75" thickTop="1" x14ac:dyDescent="0.2">
      <c r="A18" t="s">
        <v>18</v>
      </c>
      <c r="B18" t="s">
        <v>19</v>
      </c>
      <c r="C18" s="8">
        <v>44531</v>
      </c>
      <c r="E18" s="21" t="s">
        <v>39</v>
      </c>
      <c r="F18" s="22">
        <v>36282.6</v>
      </c>
      <c r="G18" s="23"/>
      <c r="H18" s="25"/>
    </row>
    <row r="19" spans="1:8" x14ac:dyDescent="0.2">
      <c r="A19" t="s">
        <v>21</v>
      </c>
      <c r="F19" s="24"/>
    </row>
    <row r="20" spans="1:8" x14ac:dyDescent="0.2">
      <c r="F20" s="2"/>
      <c r="G20" s="3"/>
    </row>
    <row r="21" spans="1:8" x14ac:dyDescent="0.2">
      <c r="F21" s="7"/>
    </row>
    <row r="22" spans="1:8" x14ac:dyDescent="0.2">
      <c r="F22" s="29"/>
      <c r="G22" s="29"/>
    </row>
    <row r="23" spans="1:8" x14ac:dyDescent="0.2">
      <c r="F23" s="29"/>
      <c r="G23" s="29"/>
    </row>
    <row r="24" spans="1:8" x14ac:dyDescent="0.2">
      <c r="F24" s="29"/>
      <c r="G24" s="29"/>
    </row>
    <row r="25" spans="1:8" x14ac:dyDescent="0.2">
      <c r="A25" t="s">
        <v>22</v>
      </c>
      <c r="B25">
        <v>1508.07</v>
      </c>
      <c r="F25" s="29"/>
      <c r="G25" s="29"/>
    </row>
    <row r="26" spans="1:8" x14ac:dyDescent="0.2">
      <c r="A26" t="s">
        <v>23</v>
      </c>
      <c r="B26">
        <v>906.31</v>
      </c>
    </row>
    <row r="27" spans="1:8" x14ac:dyDescent="0.2">
      <c r="A27" t="s">
        <v>24</v>
      </c>
      <c r="B27">
        <v>281</v>
      </c>
    </row>
    <row r="28" spans="1:8" x14ac:dyDescent="0.2">
      <c r="A28" t="s">
        <v>22</v>
      </c>
      <c r="B28">
        <v>321.76</v>
      </c>
    </row>
    <row r="31" spans="1:8" x14ac:dyDescent="0.2">
      <c r="A31" t="s">
        <v>26</v>
      </c>
    </row>
  </sheetData>
  <phoneticPr fontId="3" type="noConversion"/>
  <pageMargins left="0.7" right="0.7" top="0.75" bottom="0.75" header="0.3" footer="0.3"/>
  <pageSetup orientation="portrait" horizontalDpi="4294967293" verticalDpi="4294967293" r:id="rId1"/>
  <legacy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F&amp;E Dispatching</vt:lpstr>
      <vt:lpstr>Trucking</vt:lpstr>
      <vt:lpstr>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Conley</dc:creator>
  <cp:lastModifiedBy>Jesse Conley</cp:lastModifiedBy>
  <cp:lastPrinted>2020-12-08T12:57:33Z</cp:lastPrinted>
  <dcterms:created xsi:type="dcterms:W3CDTF">2020-12-08T07:32:09Z</dcterms:created>
  <dcterms:modified xsi:type="dcterms:W3CDTF">2023-10-21T00:17:33Z</dcterms:modified>
</cp:coreProperties>
</file>